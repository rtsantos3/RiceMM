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5" sheetId="1" state="visible" r:id="rId2"/>
    <sheet name="Sheet1" sheetId="2" state="visible" r:id="rId3"/>
    <sheet name="PSI_PSII ratios" sheetId="3" state="visible" r:id="rId4"/>
    <sheet name="Sampling_diagnostic stats" sheetId="4" state="visible" r:id="rId5"/>
    <sheet name="Analysis of Yields" sheetId="5" state="visible" r:id="rId6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<sst xmlns="http://schemas.openxmlformats.org/spreadsheetml/2006/main" count="137" uniqueCount="97">
  <si>
    <t xml:space="preserve">Rubisco Flux Sums</t>
  </si>
  <si>
    <t xml:space="preserve">Wt_250</t>
  </si>
  <si>
    <t xml:space="preserve">Wt_750</t>
  </si>
  <si>
    <t xml:space="preserve">Wt_1500</t>
  </si>
  <si>
    <t xml:space="preserve">Tr_250</t>
  </si>
  <si>
    <t xml:space="preserve">Tr_750</t>
  </si>
  <si>
    <t xml:space="preserve">Tr_1500</t>
  </si>
  <si>
    <t xml:space="preserve">RBPCs_M</t>
  </si>
  <si>
    <t xml:space="preserve">RBPCs_BS</t>
  </si>
  <si>
    <t xml:space="preserve">RBPOs_BS</t>
  </si>
  <si>
    <t xml:space="preserve">RBPOs_M</t>
  </si>
  <si>
    <t xml:space="preserve">Net Rubisco reaction</t>
  </si>
  <si>
    <t xml:space="preserve">Sample</t>
  </si>
  <si>
    <t xml:space="preserve">Number of Active Reactions</t>
  </si>
  <si>
    <t xml:space="preserve">Total reactions in model</t>
  </si>
  <si>
    <t xml:space="preserve">Percent active reactions</t>
  </si>
  <si>
    <t xml:space="preserve">P value</t>
  </si>
  <si>
    <t xml:space="preserve">P&lt;0.001</t>
  </si>
  <si>
    <t xml:space="preserve">Significantly different fluxes with WT/TR (Based on K-W Test)</t>
  </si>
  <si>
    <t xml:space="preserve">Percent</t>
  </si>
  <si>
    <t xml:space="preserve">Invariant fluxes with WT/TR (Based on K-W Test)</t>
  </si>
  <si>
    <t xml:space="preserve">Photosynthetic fluxes</t>
  </si>
  <si>
    <t xml:space="preserve">PRISM_white_LED_M</t>
  </si>
  <si>
    <t xml:space="preserve">CBFCNCEFs_M</t>
  </si>
  <si>
    <t xml:space="preserve">CCEFs_M</t>
  </si>
  <si>
    <t xml:space="preserve">FNORs_M</t>
  </si>
  <si>
    <t xml:space="preserve">PSIMR_M</t>
  </si>
  <si>
    <t xml:space="preserve">PSIINC_M</t>
  </si>
  <si>
    <t xml:space="preserve">Bundle Sheath Light Reactions</t>
  </si>
  <si>
    <t xml:space="preserve">PRISM_white_LED_BS</t>
  </si>
  <si>
    <t xml:space="preserve">CBFCNCEFs_BS</t>
  </si>
  <si>
    <t xml:space="preserve">CCEFs_BS</t>
  </si>
  <si>
    <t xml:space="preserve">FNORs_BS</t>
  </si>
  <si>
    <t xml:space="preserve">PSIMR_BS</t>
  </si>
  <si>
    <t xml:space="preserve">PSIINC_BS</t>
  </si>
  <si>
    <t xml:space="preserve">Transposed (for use </t>
  </si>
  <si>
    <t xml:space="preserve">Sums Photosynthetic Parameters</t>
  </si>
  <si>
    <t xml:space="preserve">Normalized PSI/PSII flux ratios</t>
  </si>
  <si>
    <t xml:space="preserve">psi/psii flux (normalized)</t>
  </si>
  <si>
    <t xml:space="preserve">m_fraction_ppfd</t>
  </si>
  <si>
    <t xml:space="preserve">bs_fraction_ppfd</t>
  </si>
  <si>
    <t xml:space="preserve">Error ranges for FNOR</t>
  </si>
  <si>
    <t xml:space="preserve">lower range</t>
  </si>
  <si>
    <t xml:space="preserve">WT</t>
  </si>
  <si>
    <t xml:space="preserve">144+8</t>
  </si>
  <si>
    <t xml:space="preserve">TR (line 29)</t>
  </si>
  <si>
    <t xml:space="preserve">119 ± 8a</t>
  </si>
  <si>
    <t xml:space="preserve">sample</t>
  </si>
  <si>
    <t xml:space="preserve">dim(resmatrix)[1]</t>
  </si>
  <si>
    <t xml:space="preserve">dim(Nfails)[1]</t>
  </si>
  <si>
    <t xml:space="preserve">percent fails</t>
  </si>
  <si>
    <t xml:space="preserve">dim(Ifails)[1]</t>
  </si>
  <si>
    <t xml:space="preserve">gw$list_fails</t>
  </si>
  <si>
    <t xml:space="preserve">gw$percent_converged</t>
  </si>
  <si>
    <t xml:space="preserve">wt_250</t>
  </si>
  <si>
    <t xml:space="preserve">wt_750</t>
  </si>
  <si>
    <t xml:space="preserve">wt_1500</t>
  </si>
  <si>
    <t xml:space="preserve">tr_250</t>
  </si>
  <si>
    <t xml:space="preserve">tr_750</t>
  </si>
  <si>
    <t xml:space="preserve">tr_1500</t>
  </si>
  <si>
    <t xml:space="preserve">Parameters used for tests</t>
  </si>
  <si>
    <t xml:space="preserve">Non trimmed, tol = 1e-7</t>
  </si>
  <si>
    <t xml:space="preserve">DM_Phloem_BS</t>
  </si>
  <si>
    <t xml:space="preserve">Flux rates =</t>
  </si>
  <si>
    <t xml:space="preserve">Starch_s0</t>
  </si>
  <si>
    <t xml:space="preserve">Starch_s1</t>
  </si>
  <si>
    <t xml:space="preserve">Net Starch Accumulation Rate</t>
  </si>
  <si>
    <t xml:space="preserve">Sucrose export rates</t>
  </si>
  <si>
    <t xml:space="preserve">Starch/sucrose Ratios</t>
  </si>
  <si>
    <t xml:space="preserve">EX_co2(e)</t>
  </si>
  <si>
    <t xml:space="preserve">EX_h2o(e)</t>
  </si>
  <si>
    <t xml:space="preserve">EX_h(e)</t>
  </si>
  <si>
    <t xml:space="preserve">EX_o2(e)</t>
  </si>
  <si>
    <t xml:space="preserve">EX_nh4(e)</t>
  </si>
  <si>
    <t xml:space="preserve">EX_mg2(e)</t>
  </si>
  <si>
    <t xml:space="preserve">EX_photonVis(e)</t>
  </si>
  <si>
    <t xml:space="preserve">Phloem Flux values</t>
  </si>
  <si>
    <t xml:space="preserve">metabolite</t>
  </si>
  <si>
    <t xml:space="preserve">coefficients</t>
  </si>
  <si>
    <t xml:space="preserve">ala-L_c</t>
  </si>
  <si>
    <t xml:space="preserve">arg-L_c</t>
  </si>
  <si>
    <t xml:space="preserve">asn-L_c</t>
  </si>
  <si>
    <t xml:space="preserve">asp-L_c</t>
  </si>
  <si>
    <t xml:space="preserve">gln-L_c</t>
  </si>
  <si>
    <t xml:space="preserve">glu-L_c</t>
  </si>
  <si>
    <t xml:space="preserve">his-L_c</t>
  </si>
  <si>
    <t xml:space="preserve">ile-L_c</t>
  </si>
  <si>
    <t xml:space="preserve">leu-L_c</t>
  </si>
  <si>
    <t xml:space="preserve">lys-L_c</t>
  </si>
  <si>
    <t xml:space="preserve">phe-L_c</t>
  </si>
  <si>
    <t xml:space="preserve">pro-L_c</t>
  </si>
  <si>
    <t xml:space="preserve">ser-L_c</t>
  </si>
  <si>
    <t xml:space="preserve">starch_s</t>
  </si>
  <si>
    <t xml:space="preserve">sucr_c</t>
  </si>
  <si>
    <t xml:space="preserve">thr-L_c</t>
  </si>
  <si>
    <t xml:space="preserve">tyr-L_c</t>
  </si>
  <si>
    <t xml:space="preserve">val-L_c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</si>
</sst>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0"/>
    <numFmt numFmtId="166" formatCode="0.000"/>
    <numFmt numFmtId="167" formatCode="0.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name val="Times New Roman"/>
      <family val="1"/>
      <charset val="1"/>
    </font>
    <font>
      <sz val="10"/>
      <name val="Courier New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7"/>
  <sheetViews>
    <sheetView showFormulas="false" showGridLines="true" showRowColHeaders="true" showZeros="true" rightToLeft="false" tabSelected="true" showOutlineSymbols="true" defaultGridColor="true" view="normal" topLeftCell="A1" colorId="64" zoomScale="140" zoomScaleNormal="140" zoomScalePageLayoutView="100" workbookViewId="0">
      <selection pane="topLeft" activeCell="G3" activeCellId="0" sqref="G3"/>
    </sheetView>
  </sheetViews>
  <sheetFormatPr defaultColWidth="11.57031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</row>
    <row r="2" customFormat="false" ht="12.8" hidden="false" customHeight="false" outlineLevel="0" collapsed="false"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G2" s="0" t="s">
        <v>6</v>
      </c>
    </row>
    <row r="3" customFormat="false" ht="15" hidden="false" customHeight="false" outlineLevel="0" collapsed="false">
      <c r="A3" s="2" t="s">
        <v>7</v>
      </c>
      <c r="B3" s="1" t="n">
        <v>8.03265016085202</v>
      </c>
      <c r="C3" s="1" t="n">
        <v>24.624362420466</v>
      </c>
      <c r="D3" s="1" t="n">
        <v>39.9978489027092</v>
      </c>
      <c r="E3" s="1" t="n">
        <v>8.27833902312598</v>
      </c>
      <c r="F3" s="1" t="n">
        <v>23.3627885196562</v>
      </c>
      <c r="G3" s="1" t="n">
        <v>34.6876494431097</v>
      </c>
    </row>
    <row r="4" customFormat="false" ht="15" hidden="false" customHeight="false" outlineLevel="0" collapsed="false">
      <c r="A4" s="2" t="s">
        <v>8</v>
      </c>
      <c r="B4" s="1" t="n">
        <v>0.557022922870499</v>
      </c>
      <c r="C4" s="1" t="n">
        <v>0.78309928512584</v>
      </c>
      <c r="D4" s="1" t="n">
        <v>1.28074285843894</v>
      </c>
      <c r="E4" s="1" t="n">
        <v>0.610037483268823</v>
      </c>
      <c r="F4" s="1" t="n">
        <v>2.04841708587514</v>
      </c>
      <c r="G4" s="1" t="n">
        <v>0.932632644603508</v>
      </c>
    </row>
    <row r="5" customFormat="false" ht="15" hidden="false" customHeight="false" outlineLevel="0" collapsed="false">
      <c r="A5" s="2" t="s">
        <v>9</v>
      </c>
      <c r="B5" s="1" t="n">
        <v>0.287795046289356</v>
      </c>
      <c r="C5" s="1" t="n">
        <v>1.9372907308476</v>
      </c>
      <c r="D5" s="1" t="n">
        <v>0.465463534219403</v>
      </c>
      <c r="E5" s="1" t="n">
        <v>0.109956405163398</v>
      </c>
      <c r="F5" s="1" t="n">
        <v>0.0996488271301564</v>
      </c>
      <c r="G5" s="1" t="n">
        <v>0.22726176963373</v>
      </c>
    </row>
    <row r="6" customFormat="false" ht="15" hidden="false" customHeight="false" outlineLevel="0" collapsed="false">
      <c r="A6" s="2" t="s">
        <v>10</v>
      </c>
      <c r="B6" s="1" t="n">
        <v>2.57548625738295</v>
      </c>
      <c r="C6" s="1" t="n">
        <v>6.53201438154509</v>
      </c>
      <c r="D6" s="1" t="n">
        <v>14.0489557422183</v>
      </c>
      <c r="E6" s="1" t="n">
        <v>2.8560241209484</v>
      </c>
      <c r="F6" s="1" t="n">
        <v>8.37652875942317</v>
      </c>
      <c r="G6" s="1" t="n">
        <v>12.3253516904694</v>
      </c>
    </row>
    <row r="7" customFormat="false" ht="12.8" hidden="false" customHeight="false" outlineLevel="0" collapsed="false">
      <c r="A7" s="1" t="s">
        <v>11</v>
      </c>
      <c r="B7" s="1" t="n">
        <f aca="false">SUM(B3:B6)</f>
        <v>11.4529543873948</v>
      </c>
      <c r="C7" s="1" t="n">
        <f aca="false">SUM(C3:C6)</f>
        <v>33.8767668179845</v>
      </c>
      <c r="D7" s="1" t="n">
        <f aca="false">SUM(D3:D6)</f>
        <v>55.7930110375858</v>
      </c>
      <c r="E7" s="1" t="n">
        <f aca="false">SUM(E3:E6)</f>
        <v>11.8543570325066</v>
      </c>
      <c r="F7" s="1" t="n">
        <f aca="false">SUM(F3:F6)</f>
        <v>33.8873831920847</v>
      </c>
      <c r="G7" s="1" t="n">
        <f aca="false">SUM(G3:G6)</f>
        <v>48.1728955478163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4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15" activeCellId="0" sqref="B15"/>
    </sheetView>
  </sheetViews>
  <sheetFormatPr defaultColWidth="11.5703125" defaultRowHeight="12.8" zeroHeight="false" outlineLevelRow="0" outlineLevelCol="0"/>
  <cols>
    <col collapsed="false" customWidth="true" hidden="false" outlineLevel="0" max="2" min="2" style="1" width="24.04"/>
    <col collapsed="false" customWidth="true" hidden="false" outlineLevel="0" max="3" min="3" style="1" width="20.56"/>
    <col collapsed="false" customWidth="true" hidden="false" outlineLevel="0" max="4" min="4" style="1" width="21.67"/>
  </cols>
  <sheetData>
    <row r="1" customFormat="false" ht="12.8" hidden="false" customHeight="false" outlineLevel="0" collapsed="false">
      <c r="A1" s="1" t="s">
        <v>12</v>
      </c>
      <c r="B1" s="1" t="s">
        <v>13</v>
      </c>
      <c r="C1" s="1" t="s">
        <v>14</v>
      </c>
      <c r="D1" s="1" t="s">
        <v>15</v>
      </c>
    </row>
    <row r="2" customFormat="false" ht="12.8" hidden="false" customHeight="false" outlineLevel="0" collapsed="false">
      <c r="A2" s="1" t="s">
        <v>1</v>
      </c>
      <c r="B2" s="1" t="n">
        <v>699</v>
      </c>
      <c r="C2" s="3" t="n">
        <v>4940</v>
      </c>
      <c r="D2" s="1" t="n">
        <f aca="false">(B2/C2)*100</f>
        <v>14.1497975708502</v>
      </c>
    </row>
    <row r="3" customFormat="false" ht="12.8" hidden="false" customHeight="false" outlineLevel="0" collapsed="false">
      <c r="A3" s="1" t="s">
        <v>2</v>
      </c>
      <c r="B3" s="1" t="n">
        <v>688</v>
      </c>
      <c r="C3" s="3" t="n">
        <v>4940</v>
      </c>
      <c r="D3" s="1" t="n">
        <f aca="false">(B3/C3)*100</f>
        <v>13.9271255060729</v>
      </c>
    </row>
    <row r="4" customFormat="false" ht="12.8" hidden="false" customHeight="false" outlineLevel="0" collapsed="false">
      <c r="A4" s="1" t="s">
        <v>3</v>
      </c>
      <c r="B4" s="1" t="n">
        <v>1849</v>
      </c>
      <c r="C4" s="3" t="n">
        <v>4940</v>
      </c>
      <c r="D4" s="1" t="n">
        <f aca="false">(B4/C4)*100</f>
        <v>37.4291497975708</v>
      </c>
    </row>
    <row r="5" customFormat="false" ht="12.8" hidden="false" customHeight="false" outlineLevel="0" collapsed="false">
      <c r="A5" s="1" t="s">
        <v>1</v>
      </c>
      <c r="B5" s="1" t="n">
        <v>693</v>
      </c>
      <c r="C5" s="3" t="n">
        <v>4948</v>
      </c>
      <c r="D5" s="1" t="n">
        <f aca="false">(B5/C5)*100</f>
        <v>14.0056588520614</v>
      </c>
    </row>
    <row r="6" customFormat="false" ht="12.8" hidden="false" customHeight="false" outlineLevel="0" collapsed="false">
      <c r="A6" s="1" t="s">
        <v>5</v>
      </c>
      <c r="B6" s="1" t="n">
        <v>693</v>
      </c>
      <c r="C6" s="3" t="n">
        <v>4948</v>
      </c>
      <c r="D6" s="1" t="n">
        <f aca="false">(B6/C6)*100</f>
        <v>14.0056588520614</v>
      </c>
    </row>
    <row r="7" customFormat="false" ht="12.8" hidden="false" customHeight="false" outlineLevel="0" collapsed="false">
      <c r="A7" s="1" t="s">
        <v>6</v>
      </c>
      <c r="B7" s="1" t="n">
        <v>1856</v>
      </c>
      <c r="C7" s="3" t="n">
        <v>4948</v>
      </c>
      <c r="D7" s="1" t="n">
        <f aca="false">(B7/C7)*100</f>
        <v>37.5101050929669</v>
      </c>
    </row>
    <row r="10" customFormat="false" ht="12.8" hidden="false" customHeight="false" outlineLevel="0" collapsed="false">
      <c r="A10" s="1" t="s">
        <v>16</v>
      </c>
    </row>
    <row r="11" customFormat="false" ht="12.8" hidden="false" customHeight="false" outlineLevel="0" collapsed="false">
      <c r="A11" s="1" t="s">
        <v>17</v>
      </c>
      <c r="B11" s="1" t="s">
        <v>18</v>
      </c>
      <c r="C11" s="1" t="s">
        <v>19</v>
      </c>
      <c r="D11" s="1" t="s">
        <v>20</v>
      </c>
      <c r="E11" s="1" t="s">
        <v>19</v>
      </c>
    </row>
    <row r="12" customFormat="false" ht="12.8" hidden="false" customHeight="false" outlineLevel="0" collapsed="false">
      <c r="A12" s="1" t="n">
        <v>250</v>
      </c>
      <c r="B12" s="1" t="n">
        <v>635</v>
      </c>
      <c r="C12" s="1" t="n">
        <f aca="false">B12/B2 * 100</f>
        <v>90.8440629470672</v>
      </c>
      <c r="D12" s="1" t="n">
        <v>38</v>
      </c>
      <c r="E12" s="1" t="n">
        <f aca="false">D12/B2 * 100</f>
        <v>5.43633762517883</v>
      </c>
    </row>
    <row r="13" customFormat="false" ht="12.8" hidden="false" customHeight="false" outlineLevel="0" collapsed="false">
      <c r="A13" s="1" t="n">
        <v>750</v>
      </c>
      <c r="B13" s="1" t="n">
        <v>561</v>
      </c>
      <c r="C13" s="1" t="n">
        <f aca="false">B13/B3 * 100</f>
        <v>81.5406976744186</v>
      </c>
      <c r="D13" s="1" t="n">
        <v>126</v>
      </c>
      <c r="E13" s="1" t="n">
        <f aca="false">D13/B3 * 100</f>
        <v>18.3139534883721</v>
      </c>
    </row>
    <row r="14" customFormat="false" ht="12.8" hidden="false" customHeight="false" outlineLevel="0" collapsed="false">
      <c r="A14" s="1" t="n">
        <v>1500</v>
      </c>
      <c r="B14" s="1" t="n">
        <v>1787</v>
      </c>
      <c r="C14" s="1" t="n">
        <f aca="false">B14/B4 * 100</f>
        <v>96.6468361276366</v>
      </c>
      <c r="D14" s="1" t="n">
        <v>61</v>
      </c>
      <c r="E14" s="1" t="n">
        <f aca="false">D14/B4 * 100</f>
        <v>3.29908058409951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Q38"/>
  <sheetViews>
    <sheetView showFormulas="false" showGridLines="true" showRowColHeaders="true" showZeros="true" rightToLeft="false" tabSelected="false" showOutlineSymbols="true" defaultGridColor="true" view="normal" topLeftCell="A14" colorId="64" zoomScale="140" zoomScaleNormal="140" zoomScalePageLayoutView="100" workbookViewId="0">
      <selection pane="topLeft" activeCell="A33" activeCellId="0" sqref="A33"/>
    </sheetView>
  </sheetViews>
  <sheetFormatPr defaultColWidth="11.5703125" defaultRowHeight="12.8" zeroHeight="false" outlineLevelRow="0" outlineLevelCol="0"/>
  <cols>
    <col collapsed="false" customWidth="true" hidden="false" outlineLevel="0" max="1" min="1" style="0" width="25.21"/>
  </cols>
  <sheetData>
    <row r="2" customFormat="false" ht="12.8" hidden="false" customHeight="false" outlineLevel="0" collapsed="false">
      <c r="C2" s="4"/>
      <c r="D2" s="4"/>
    </row>
    <row r="3" customFormat="false" ht="12.8" hidden="false" customHeight="false" outlineLevel="0" collapsed="false">
      <c r="C3" s="4"/>
      <c r="D3" s="4"/>
    </row>
    <row r="4" customFormat="false" ht="12.8" hidden="false" customHeight="false" outlineLevel="0" collapsed="false">
      <c r="C4" s="4"/>
      <c r="D4" s="4"/>
    </row>
    <row r="5" customFormat="false" ht="12.8" hidden="false" customHeight="false" outlineLevel="0" collapsed="false">
      <c r="C5" s="4"/>
      <c r="D5" s="4"/>
    </row>
    <row r="6" customFormat="false" ht="12.8" hidden="false" customHeight="false" outlineLevel="0" collapsed="false">
      <c r="C6" s="4"/>
      <c r="D6" s="4"/>
    </row>
    <row r="7" customFormat="false" ht="12.8" hidden="false" customHeight="false" outlineLevel="0" collapsed="false">
      <c r="C7" s="4"/>
      <c r="D7" s="4"/>
    </row>
    <row r="9" customFormat="false" ht="12.8" hidden="false" customHeight="false" outlineLevel="0" collapsed="false">
      <c r="A9" s="1" t="s">
        <v>21</v>
      </c>
    </row>
    <row r="11" customFormat="false" ht="13.8" hidden="false" customHeight="false" outlineLevel="0" collapsed="false">
      <c r="A11" s="2" t="s">
        <v>22</v>
      </c>
      <c r="B11" s="0" t="n">
        <v>233.838032097361</v>
      </c>
      <c r="C11" s="0" t="n">
        <v>682.6600201575</v>
      </c>
      <c r="D11" s="0" t="n">
        <v>1340.90909091396</v>
      </c>
      <c r="E11" s="0" t="n">
        <v>249.889015832762</v>
      </c>
      <c r="F11" s="0" t="n">
        <v>682.748381877345</v>
      </c>
      <c r="G11" s="0" t="n">
        <v>1380.12013097878</v>
      </c>
    </row>
    <row r="12" customFormat="false" ht="13.8" hidden="false" customHeight="false" outlineLevel="0" collapsed="false">
      <c r="A12" s="2" t="s">
        <v>23</v>
      </c>
      <c r="B12" s="0" t="n">
        <v>33.7150561438801</v>
      </c>
      <c r="C12" s="0" t="n">
        <v>99.735819222539</v>
      </c>
      <c r="D12" s="0" t="n">
        <v>192.452550108269</v>
      </c>
      <c r="E12" s="0" t="n">
        <v>35.7472279297635</v>
      </c>
      <c r="F12" s="0" t="n">
        <v>102.14763193224</v>
      </c>
      <c r="G12" s="0" t="n">
        <v>195.686940837118</v>
      </c>
    </row>
    <row r="13" customFormat="false" ht="13.8" hidden="false" customHeight="false" outlineLevel="0" collapsed="false">
      <c r="A13" s="2" t="s">
        <v>24</v>
      </c>
      <c r="B13" s="0" t="n">
        <v>12.6655507886287</v>
      </c>
      <c r="C13" s="0" t="n">
        <v>40.0293322454997</v>
      </c>
      <c r="D13" s="0" t="n">
        <v>77.7059360285602</v>
      </c>
      <c r="E13" s="0" t="n">
        <v>13.2361748507535</v>
      </c>
      <c r="F13" s="0" t="n">
        <v>46.3013958747459</v>
      </c>
      <c r="G13" s="0" t="n">
        <v>88.1273674750208</v>
      </c>
    </row>
    <row r="14" customFormat="false" ht="13.8" hidden="false" customHeight="false" outlineLevel="0" collapsed="false">
      <c r="A14" s="2" t="s">
        <v>25</v>
      </c>
      <c r="B14" s="0" t="n">
        <v>21.0488011533272</v>
      </c>
      <c r="C14" s="0" t="n">
        <v>59.7043520431442</v>
      </c>
      <c r="D14" s="0" t="n">
        <v>112.966638219814</v>
      </c>
      <c r="E14" s="0" t="n">
        <v>22.4759601130798</v>
      </c>
      <c r="F14" s="0" t="n">
        <v>55.780184851135</v>
      </c>
      <c r="G14" s="0" t="n">
        <v>100.822304024575</v>
      </c>
    </row>
    <row r="15" customFormat="false" ht="13.8" hidden="false" customHeight="false" outlineLevel="0" collapsed="false">
      <c r="A15" s="2" t="s">
        <v>26</v>
      </c>
      <c r="B15" s="0" t="n">
        <v>33.7150561438801</v>
      </c>
      <c r="C15" s="0" t="n">
        <v>99.735819222539</v>
      </c>
      <c r="D15" s="0" t="n">
        <v>192.452550108269</v>
      </c>
      <c r="E15" s="0" t="n">
        <v>35.7472279297635</v>
      </c>
      <c r="F15" s="0" t="n">
        <v>102.14763193224</v>
      </c>
      <c r="G15" s="0" t="n">
        <v>195.686940837119</v>
      </c>
    </row>
    <row r="16" customFormat="false" ht="13.8" hidden="false" customHeight="false" outlineLevel="0" collapsed="false">
      <c r="A16" s="2" t="s">
        <v>27</v>
      </c>
      <c r="B16" s="0" t="n">
        <v>21.0495053552505</v>
      </c>
      <c r="C16" s="0" t="n">
        <v>59.7064869770425</v>
      </c>
      <c r="D16" s="0" t="n">
        <v>114.098121607167</v>
      </c>
      <c r="E16" s="0" t="n">
        <v>22.5110530790126</v>
      </c>
      <c r="F16" s="0" t="n">
        <v>55.8462360575165</v>
      </c>
      <c r="G16" s="0" t="n">
        <v>105.338682633729</v>
      </c>
    </row>
    <row r="17" customFormat="false" ht="12.8" hidden="false" customHeight="false" outlineLevel="0" collapsed="false">
      <c r="A17" s="1" t="s">
        <v>28</v>
      </c>
      <c r="B17" s="5"/>
      <c r="C17" s="5"/>
      <c r="D17" s="5"/>
      <c r="E17" s="5"/>
      <c r="F17" s="5"/>
      <c r="G17" s="5"/>
    </row>
    <row r="18" customFormat="false" ht="13.8" hidden="false" customHeight="false" outlineLevel="0" collapsed="false">
      <c r="A18" s="2" t="s">
        <v>29</v>
      </c>
      <c r="B18" s="0" t="n">
        <v>23.3838032097364</v>
      </c>
      <c r="C18" s="0" t="n">
        <v>68.2660020157504</v>
      </c>
      <c r="D18" s="0" t="n">
        <v>134.090909091353</v>
      </c>
      <c r="E18" s="0" t="n">
        <v>24.9889015832788</v>
      </c>
      <c r="F18" s="0" t="n">
        <v>68.274838187746</v>
      </c>
      <c r="G18" s="0" t="n">
        <v>138.012013097889</v>
      </c>
    </row>
    <row r="19" customFormat="false" ht="13.8" hidden="false" customHeight="false" outlineLevel="0" collapsed="false">
      <c r="A19" s="2" t="s">
        <v>30</v>
      </c>
      <c r="B19" s="0" t="n">
        <v>3.20437075371805</v>
      </c>
      <c r="C19" s="0" t="n">
        <v>9.35768087879716</v>
      </c>
      <c r="D19" s="0" t="n">
        <v>18.6598602623611</v>
      </c>
      <c r="E19" s="0" t="n">
        <v>3.25231944297035</v>
      </c>
      <c r="F19" s="0" t="n">
        <v>8.64284668795406</v>
      </c>
      <c r="G19" s="0" t="n">
        <v>16.2249165115552</v>
      </c>
    </row>
    <row r="20" customFormat="false" ht="13.8" hidden="false" customHeight="false" outlineLevel="0" collapsed="false">
      <c r="A20" s="2" t="s">
        <v>31</v>
      </c>
      <c r="B20" s="0" t="n">
        <v>0.881250040670962</v>
      </c>
      <c r="C20" s="0" t="n">
        <v>2.58891513827582</v>
      </c>
      <c r="D20" s="0" t="n">
        <v>8.26552525784521</v>
      </c>
      <c r="E20" s="0" t="n">
        <v>0.744166000074158</v>
      </c>
      <c r="F20" s="0" t="n">
        <v>1.26789412971577</v>
      </c>
      <c r="G20" s="0" t="n">
        <v>1.44668991394028</v>
      </c>
    </row>
    <row r="21" customFormat="false" ht="13.8" hidden="false" customHeight="false" outlineLevel="0" collapsed="false">
      <c r="A21" s="2" t="s">
        <v>32</v>
      </c>
      <c r="B21" s="0" t="n">
        <v>2.32267267106438</v>
      </c>
      <c r="C21" s="0" t="n">
        <v>6.76777852012173</v>
      </c>
      <c r="D21" s="0" t="n">
        <v>10.2898129657704</v>
      </c>
      <c r="E21" s="0" t="n">
        <v>2.48867318428273</v>
      </c>
      <c r="F21" s="0" t="n">
        <v>7.34227133241115</v>
      </c>
      <c r="G21" s="0" t="n">
        <v>14.6873710365846</v>
      </c>
    </row>
    <row r="22" customFormat="false" ht="13.8" hidden="false" customHeight="false" outlineLevel="0" collapsed="false">
      <c r="A22" s="2" t="s">
        <v>33</v>
      </c>
      <c r="B22" s="0" t="n">
        <v>3.20437075371805</v>
      </c>
      <c r="C22" s="0" t="n">
        <v>9.35768087879716</v>
      </c>
      <c r="D22" s="0" t="n">
        <v>18.6598602623612</v>
      </c>
      <c r="E22" s="0" t="n">
        <v>3.25231944297043</v>
      </c>
      <c r="F22" s="0" t="n">
        <v>8.64284668795405</v>
      </c>
      <c r="G22" s="0" t="n">
        <v>16.2249165115552</v>
      </c>
    </row>
    <row r="23" customFormat="false" ht="13.8" hidden="false" customHeight="false" outlineLevel="0" collapsed="false">
      <c r="A23" s="2" t="s">
        <v>34</v>
      </c>
      <c r="B23" s="0" t="n">
        <v>2.32312071304711</v>
      </c>
      <c r="C23" s="0" t="n">
        <v>6.76689521095438</v>
      </c>
      <c r="D23" s="0" t="n">
        <v>10.2184055138156</v>
      </c>
      <c r="E23" s="0" t="n">
        <v>2.48148437308981</v>
      </c>
      <c r="F23" s="0" t="n">
        <v>7.33714981621635</v>
      </c>
      <c r="G23" s="0" t="n">
        <v>14.4790424721131</v>
      </c>
    </row>
    <row r="24" customFormat="false" ht="12.8" hidden="false" customHeight="false" outlineLevel="0" collapsed="false">
      <c r="B24" s="5"/>
      <c r="C24" s="5"/>
      <c r="D24" s="5"/>
      <c r="E24" s="5"/>
      <c r="F24" s="5"/>
      <c r="G24" s="5"/>
      <c r="I24" s="1" t="s">
        <v>35</v>
      </c>
    </row>
    <row r="25" customFormat="false" ht="12.8" hidden="false" customHeight="false" outlineLevel="0" collapsed="false">
      <c r="A25" s="1" t="s">
        <v>36</v>
      </c>
      <c r="B25" s="5" t="s">
        <v>1</v>
      </c>
      <c r="C25" s="5" t="s">
        <v>2</v>
      </c>
      <c r="D25" s="5" t="s">
        <v>3</v>
      </c>
      <c r="E25" s="5" t="s">
        <v>4</v>
      </c>
      <c r="F25" s="5" t="s">
        <v>5</v>
      </c>
      <c r="G25" s="5" t="s">
        <v>6</v>
      </c>
      <c r="I25" s="1" t="s">
        <v>36</v>
      </c>
      <c r="J25" s="5" t="s">
        <v>22</v>
      </c>
      <c r="K25" s="5" t="s">
        <v>23</v>
      </c>
      <c r="L25" s="5" t="s">
        <v>24</v>
      </c>
      <c r="M25" s="5" t="s">
        <v>25</v>
      </c>
      <c r="N25" s="5" t="s">
        <v>26</v>
      </c>
      <c r="O25" s="5" t="s">
        <v>27</v>
      </c>
      <c r="P25" s="1" t="s">
        <v>37</v>
      </c>
    </row>
    <row r="26" customFormat="false" ht="13.8" hidden="false" customHeight="false" outlineLevel="0" collapsed="false">
      <c r="A26" s="2" t="s">
        <v>22</v>
      </c>
      <c r="B26" s="5" t="n">
        <f aca="false" t="array" ref="B26:G31">B11:G16+B18:G23</f>
        <v>257.221835307097</v>
      </c>
      <c r="C26" s="5" t="n">
        <v>750.92602217325</v>
      </c>
      <c r="D26" s="5" t="n">
        <v>1475.00000000531</v>
      </c>
      <c r="E26" s="5" t="n">
        <v>274.877917416041</v>
      </c>
      <c r="F26" s="5" t="n">
        <v>751.023220065091</v>
      </c>
      <c r="G26" s="5" t="n">
        <v>1518.13214407667</v>
      </c>
      <c r="I26" s="1" t="s">
        <v>1</v>
      </c>
      <c r="J26" s="5" t="n">
        <v>257.221853249016</v>
      </c>
      <c r="K26" s="5" t="n">
        <v>36.9194862111911</v>
      </c>
      <c r="L26" s="5" t="n">
        <v>13.5469864891311</v>
      </c>
      <c r="M26" s="5" t="n">
        <v>23.3712999242436</v>
      </c>
      <c r="N26" s="5" t="n">
        <v>36.9194862111911</v>
      </c>
      <c r="O26" s="5" t="n">
        <v>23.3724997220593</v>
      </c>
      <c r="P26" s="5" t="n">
        <v>1.56157439829886</v>
      </c>
      <c r="Q26" s="1" t="n">
        <f aca="false" t="array" ref="Q26:Q31">1/P26:P31</f>
        <v>0.640379351178769</v>
      </c>
    </row>
    <row r="27" customFormat="false" ht="13.8" hidden="false" customHeight="false" outlineLevel="0" collapsed="false">
      <c r="A27" s="2" t="s">
        <v>23</v>
      </c>
      <c r="B27" s="5" t="n">
        <v>36.9194268975981</v>
      </c>
      <c r="C27" s="5" t="n">
        <v>109.093500101336</v>
      </c>
      <c r="D27" s="5" t="n">
        <v>211.11241037063</v>
      </c>
      <c r="E27" s="5" t="n">
        <v>38.9995473727338</v>
      </c>
      <c r="F27" s="5" t="n">
        <v>110.790478620194</v>
      </c>
      <c r="G27" s="5" t="n">
        <v>211.911857348673</v>
      </c>
      <c r="I27" s="1" t="s">
        <v>2</v>
      </c>
      <c r="J27" s="5" t="n">
        <v>750.924652583866</v>
      </c>
      <c r="K27" s="5" t="n">
        <v>109.093024566812</v>
      </c>
      <c r="L27" s="5" t="n">
        <v>42.6179334454646</v>
      </c>
      <c r="M27" s="5" t="n">
        <v>66.4718449499611</v>
      </c>
      <c r="N27" s="5" t="n">
        <v>109.093024566812</v>
      </c>
      <c r="O27" s="5" t="n">
        <v>66.4731121307235</v>
      </c>
      <c r="P27" s="5" t="n">
        <v>1.61761762288117</v>
      </c>
      <c r="Q27" s="1" t="n">
        <v>0.618193067295398</v>
      </c>
    </row>
    <row r="28" customFormat="false" ht="13.8" hidden="false" customHeight="false" outlineLevel="0" collapsed="false">
      <c r="A28" s="2" t="s">
        <v>24</v>
      </c>
      <c r="B28" s="5" t="n">
        <v>13.5468008292997</v>
      </c>
      <c r="C28" s="5" t="n">
        <v>42.6182473837755</v>
      </c>
      <c r="D28" s="5" t="n">
        <v>85.9714612864054</v>
      </c>
      <c r="E28" s="5" t="n">
        <v>13.9803408508277</v>
      </c>
      <c r="F28" s="5" t="n">
        <v>47.5692900044617</v>
      </c>
      <c r="G28" s="5" t="n">
        <v>89.5740573889611</v>
      </c>
      <c r="I28" s="1" t="s">
        <v>3</v>
      </c>
      <c r="J28" s="5" t="n">
        <v>1475.00000000766</v>
      </c>
      <c r="K28" s="5" t="n">
        <v>209.10971565406</v>
      </c>
      <c r="L28" s="5" t="n">
        <v>83.7677093404634</v>
      </c>
      <c r="M28" s="5" t="n">
        <v>123.400276895097</v>
      </c>
      <c r="N28" s="5" t="n">
        <v>209.10971565406</v>
      </c>
      <c r="O28" s="5" t="n">
        <v>124.512786478801</v>
      </c>
      <c r="P28" s="5" t="n">
        <v>1.69056686557571</v>
      </c>
      <c r="Q28" s="1" t="n">
        <v>0.591517567487316</v>
      </c>
    </row>
    <row r="29" customFormat="false" ht="13.8" hidden="false" customHeight="false" outlineLevel="0" collapsed="false">
      <c r="A29" s="2" t="s">
        <v>25</v>
      </c>
      <c r="B29" s="5" t="n">
        <v>23.3714738243916</v>
      </c>
      <c r="C29" s="5" t="n">
        <v>66.4721305632659</v>
      </c>
      <c r="D29" s="5" t="n">
        <v>123.256451185584</v>
      </c>
      <c r="E29" s="5" t="n">
        <v>24.9646332973625</v>
      </c>
      <c r="F29" s="5" t="n">
        <v>63.1224561835461</v>
      </c>
      <c r="G29" s="5" t="n">
        <v>115.50967506116</v>
      </c>
      <c r="I29" s="1" t="s">
        <v>4</v>
      </c>
      <c r="J29" s="5" t="n">
        <v>274.87793076743</v>
      </c>
      <c r="K29" s="5" t="n">
        <v>38.9984773994531</v>
      </c>
      <c r="L29" s="5" t="n">
        <v>13.9794270419826</v>
      </c>
      <c r="M29" s="5" t="n">
        <v>24.9631218908704</v>
      </c>
      <c r="N29" s="5" t="n">
        <v>38.998477399453</v>
      </c>
      <c r="O29" s="5" t="n">
        <v>24.991963587277</v>
      </c>
      <c r="P29" s="5" t="n">
        <v>1.53785544643444</v>
      </c>
      <c r="Q29" s="1" t="n">
        <v>0.650256174804028</v>
      </c>
    </row>
    <row r="30" customFormat="false" ht="13.8" hidden="false" customHeight="false" outlineLevel="0" collapsed="false">
      <c r="A30" s="2" t="s">
        <v>26</v>
      </c>
      <c r="B30" s="5" t="n">
        <v>36.9194268975981</v>
      </c>
      <c r="C30" s="5" t="n">
        <v>109.093500101336</v>
      </c>
      <c r="D30" s="5" t="n">
        <v>211.11241037063</v>
      </c>
      <c r="E30" s="5" t="n">
        <v>38.9995473727339</v>
      </c>
      <c r="F30" s="5" t="n">
        <v>110.790478620194</v>
      </c>
      <c r="G30" s="5" t="n">
        <v>211.911857348674</v>
      </c>
      <c r="I30" s="1" t="s">
        <v>5</v>
      </c>
      <c r="J30" s="5" t="n">
        <v>751.27575277335</v>
      </c>
      <c r="K30" s="5" t="n">
        <v>110.824509676011</v>
      </c>
      <c r="L30" s="5" t="n">
        <v>47.5832716458038</v>
      </c>
      <c r="M30" s="5" t="n">
        <v>63.1407408689305</v>
      </c>
      <c r="N30" s="5" t="n">
        <v>110.824509676012</v>
      </c>
      <c r="O30" s="5" t="n">
        <v>63.2032060515448</v>
      </c>
      <c r="P30" s="5" t="n">
        <v>1.70105121498176</v>
      </c>
      <c r="Q30" s="1" t="n">
        <v>0.587871776694697</v>
      </c>
    </row>
    <row r="31" customFormat="false" ht="13.8" hidden="false" customHeight="false" outlineLevel="0" collapsed="false">
      <c r="A31" s="2" t="s">
        <v>27</v>
      </c>
      <c r="B31" s="5" t="n">
        <v>23.3726260682976</v>
      </c>
      <c r="C31" s="5" t="n">
        <v>66.4733821879969</v>
      </c>
      <c r="D31" s="5" t="n">
        <v>124.316527120983</v>
      </c>
      <c r="E31" s="5" t="n">
        <v>24.9925374521024</v>
      </c>
      <c r="F31" s="5" t="n">
        <v>63.1833858737329</v>
      </c>
      <c r="G31" s="5" t="n">
        <v>119.817725105842</v>
      </c>
      <c r="I31" s="1" t="s">
        <v>6</v>
      </c>
      <c r="J31" s="5" t="n">
        <v>1518.18632117517</v>
      </c>
      <c r="K31" s="5" t="n">
        <v>211.949973764058</v>
      </c>
      <c r="L31" s="5" t="n">
        <v>89.9332528162845</v>
      </c>
      <c r="M31" s="5" t="n">
        <v>115.530861987734</v>
      </c>
      <c r="N31" s="5" t="n">
        <v>211.949973764057</v>
      </c>
      <c r="O31" s="5" t="n">
        <v>119.553440239825</v>
      </c>
      <c r="P31" s="5" t="n">
        <v>1.7134584511067</v>
      </c>
      <c r="Q31" s="1" t="n">
        <v>0.58361496851827</v>
      </c>
    </row>
    <row r="33" customFormat="false" ht="12.8" hidden="false" customHeight="false" outlineLevel="0" collapsed="false">
      <c r="A33" s="1" t="s">
        <v>38</v>
      </c>
    </row>
    <row r="34" customFormat="false" ht="12.8" hidden="false" customHeight="false" outlineLevel="0" collapsed="false">
      <c r="A34" s="1" t="s">
        <v>39</v>
      </c>
      <c r="B34" s="1" t="n">
        <f aca="false" t="array" ref="B34:G34">B11:G11/(B11:G11+B18:G18)</f>
        <v>0.909090909090908</v>
      </c>
      <c r="C34" s="1" t="n">
        <v>0.909090909090909</v>
      </c>
      <c r="D34" s="1" t="n">
        <v>0.909090909090935</v>
      </c>
      <c r="E34" s="1" t="n">
        <v>0.9090909090909</v>
      </c>
      <c r="F34" s="1" t="n">
        <v>0.909090909090895</v>
      </c>
      <c r="G34" s="1" t="n">
        <v>0.909090909090902</v>
      </c>
    </row>
    <row r="35" customFormat="false" ht="12.8" hidden="false" customHeight="false" outlineLevel="0" collapsed="false">
      <c r="A35" s="1" t="s">
        <v>40</v>
      </c>
      <c r="B35" s="1" t="n">
        <f aca="false" t="array" ref="B35:G35">B18:G18/(B11:G11+B18:G18)</f>
        <v>0.090909090909092</v>
      </c>
      <c r="C35" s="1" t="n">
        <v>0.0909090909090914</v>
      </c>
      <c r="D35" s="1" t="n">
        <v>0.0909090909090644</v>
      </c>
      <c r="E35" s="1" t="n">
        <v>0.0909090909090995</v>
      </c>
      <c r="F35" s="1" t="n">
        <v>0.0909090909091048</v>
      </c>
      <c r="G35" s="1" t="n">
        <v>0.0909090909090975</v>
      </c>
    </row>
    <row r="36" customFormat="false" ht="12.8" hidden="false" customHeight="false" outlineLevel="0" collapsed="false">
      <c r="L36" s="1" t="s">
        <v>41</v>
      </c>
      <c r="M36" s="1" t="s">
        <v>42</v>
      </c>
    </row>
    <row r="37" customFormat="false" ht="12.8" hidden="false" customHeight="false" outlineLevel="0" collapsed="false">
      <c r="A37" s="1" t="s">
        <v>37</v>
      </c>
      <c r="B37" s="5" t="n">
        <f aca="false" t="array" ref="B37:G37">(B30:G30/B31:G31)*B34:G34 + (B22:G22/B23:G23)*B35:G35</f>
        <v>1.56139548570951</v>
      </c>
      <c r="C37" s="5" t="n">
        <v>1.61767894961816</v>
      </c>
      <c r="D37" s="5" t="n">
        <v>1.70981352815772</v>
      </c>
      <c r="E37" s="5" t="n">
        <v>1.53773741650323</v>
      </c>
      <c r="F37" s="5" t="n">
        <v>1.70115504971408</v>
      </c>
      <c r="G37" s="5" t="n">
        <v>1.70970594499443</v>
      </c>
      <c r="K37" s="1" t="s">
        <v>43</v>
      </c>
      <c r="L37" s="1" t="s">
        <v>44</v>
      </c>
      <c r="M37" s="1" t="n">
        <f aca="false">((144-8)-M28)/(144-8)</f>
        <v>0.0926450228301669</v>
      </c>
      <c r="N37" s="1" t="n">
        <f aca="false">((144+8)-M28)/(144+8)</f>
        <v>0.18815607305857</v>
      </c>
    </row>
    <row r="38" customFormat="false" ht="12.8" hidden="false" customHeight="false" outlineLevel="0" collapsed="false">
      <c r="K38" s="1" t="s">
        <v>45</v>
      </c>
      <c r="L38" s="3" t="s">
        <v>46</v>
      </c>
      <c r="M38" s="1" t="n">
        <f aca="false">((119-8)-M31)/(119-8)</f>
        <v>-0.0408185764660721</v>
      </c>
      <c r="N38" s="1" t="n">
        <f aca="false">((119+8)-M31)/(119+8)</f>
        <v>0.0903081733249291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0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2" activeCellId="0" sqref="B2"/>
    </sheetView>
  </sheetViews>
  <sheetFormatPr defaultColWidth="11.5703125" defaultRowHeight="12.8" zeroHeight="false" outlineLevelRow="0" outlineLevelCol="0"/>
  <sheetData>
    <row r="1" customFormat="false" ht="12.8" hidden="false" customHeight="false" outlineLevel="0" collapsed="false">
      <c r="A1" s="5" t="s">
        <v>47</v>
      </c>
      <c r="B1" s="5" t="s">
        <v>48</v>
      </c>
      <c r="C1" s="5" t="s">
        <v>49</v>
      </c>
      <c r="D1" s="1" t="s">
        <v>50</v>
      </c>
      <c r="E1" s="5" t="s">
        <v>51</v>
      </c>
      <c r="F1" s="5" t="s">
        <v>52</v>
      </c>
      <c r="G1" s="5" t="s">
        <v>53</v>
      </c>
    </row>
    <row r="2" customFormat="false" ht="12.8" hidden="false" customHeight="false" outlineLevel="0" collapsed="false">
      <c r="A2" s="5" t="s">
        <v>54</v>
      </c>
      <c r="B2" s="6" t="n">
        <v>1214</v>
      </c>
      <c r="C2" s="6" t="n">
        <v>32</v>
      </c>
      <c r="D2" s="6" t="n">
        <f aca="false" t="array" ref="D2:D7">C2:C7/B2:B7* 100</f>
        <v>2.63591433278418</v>
      </c>
      <c r="E2" s="6" t="n">
        <v>6</v>
      </c>
      <c r="F2" s="6" t="n">
        <v>220</v>
      </c>
      <c r="G2" s="6" t="n">
        <v>81.8780889621087</v>
      </c>
    </row>
    <row r="3" customFormat="false" ht="12.8" hidden="false" customHeight="false" outlineLevel="0" collapsed="false">
      <c r="A3" s="5" t="s">
        <v>55</v>
      </c>
      <c r="B3" s="6" t="n">
        <v>1228</v>
      </c>
      <c r="C3" s="6" t="n">
        <v>41</v>
      </c>
      <c r="D3" s="6" t="n">
        <v>3.33876221498371</v>
      </c>
      <c r="E3" s="6" t="n">
        <v>5</v>
      </c>
      <c r="F3" s="6" t="n">
        <v>194</v>
      </c>
      <c r="G3" s="6" t="n">
        <v>84.2019543973941</v>
      </c>
    </row>
    <row r="4" customFormat="false" ht="12.8" hidden="false" customHeight="false" outlineLevel="0" collapsed="false">
      <c r="A4" s="5" t="s">
        <v>56</v>
      </c>
      <c r="B4" s="6" t="n">
        <v>1144</v>
      </c>
      <c r="C4" s="6" t="n">
        <v>40</v>
      </c>
      <c r="D4" s="6" t="n">
        <v>3.4965034965035</v>
      </c>
      <c r="E4" s="6" t="n">
        <v>3</v>
      </c>
      <c r="F4" s="6" t="n">
        <v>191</v>
      </c>
      <c r="G4" s="6" t="n">
        <v>83.3041958041958</v>
      </c>
    </row>
    <row r="5" customFormat="false" ht="12.8" hidden="false" customHeight="false" outlineLevel="0" collapsed="false">
      <c r="A5" s="5" t="s">
        <v>57</v>
      </c>
      <c r="B5" s="6" t="n">
        <v>1157</v>
      </c>
      <c r="C5" s="6" t="n">
        <v>23</v>
      </c>
      <c r="D5" s="6" t="n">
        <v>1.98789974070873</v>
      </c>
      <c r="E5" s="6" t="n">
        <v>2</v>
      </c>
      <c r="F5" s="6" t="n">
        <v>149</v>
      </c>
      <c r="G5" s="6" t="n">
        <v>87.1218668971478</v>
      </c>
    </row>
    <row r="6" customFormat="false" ht="12.8" hidden="false" customHeight="false" outlineLevel="0" collapsed="false">
      <c r="A6" s="5" t="s">
        <v>58</v>
      </c>
      <c r="B6" s="6" t="n">
        <v>1113</v>
      </c>
      <c r="C6" s="6" t="n">
        <v>39</v>
      </c>
      <c r="D6" s="6" t="n">
        <v>3.50404312668464</v>
      </c>
      <c r="E6" s="6" t="n">
        <v>8</v>
      </c>
      <c r="F6" s="6" t="n">
        <v>294</v>
      </c>
      <c r="G6" s="6" t="n">
        <v>73.5849056603774</v>
      </c>
    </row>
    <row r="7" customFormat="false" ht="12.8" hidden="false" customHeight="false" outlineLevel="0" collapsed="false">
      <c r="A7" s="5" t="s">
        <v>59</v>
      </c>
      <c r="B7" s="6" t="n">
        <v>1289</v>
      </c>
      <c r="C7" s="6" t="n">
        <v>59</v>
      </c>
      <c r="D7" s="6" t="n">
        <v>4.57719162141195</v>
      </c>
      <c r="E7" s="6" t="n">
        <v>5</v>
      </c>
      <c r="F7" s="6" t="n">
        <v>278</v>
      </c>
      <c r="G7" s="6" t="n">
        <v>78.432893716059</v>
      </c>
    </row>
    <row r="8" customFormat="false" ht="12.8" hidden="false" customHeight="false" outlineLevel="0" collapsed="false">
      <c r="A8" s="5"/>
      <c r="B8" s="5"/>
      <c r="C8" s="5"/>
      <c r="D8" s="5"/>
      <c r="E8" s="5"/>
      <c r="F8" s="5"/>
    </row>
    <row r="9" customFormat="false" ht="12.8" hidden="false" customHeight="false" outlineLevel="0" collapsed="false">
      <c r="A9" s="1" t="s">
        <v>60</v>
      </c>
    </row>
    <row r="10" customFormat="false" ht="12.8" hidden="false" customHeight="false" outlineLevel="0" collapsed="false">
      <c r="A10" s="1" t="s">
        <v>61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33" activeCellId="0" sqref="A33"/>
    </sheetView>
  </sheetViews>
  <sheetFormatPr defaultColWidth="11.5703125" defaultRowHeight="12.8" zeroHeight="false" outlineLevelRow="0" outlineLevelCol="0"/>
  <sheetData>
    <row r="1" customFormat="false" ht="13.8" hidden="false" customHeight="false" outlineLevel="0" collapsed="false">
      <c r="A1" s="2" t="s">
        <v>62</v>
      </c>
      <c r="B1" s="4" t="s">
        <v>63</v>
      </c>
      <c r="C1" s="4" t="n">
        <v>0.105869519020382</v>
      </c>
      <c r="D1" s="4" t="n">
        <v>0.297569015833042</v>
      </c>
      <c r="E1" s="4" t="n">
        <v>0.420302985310694</v>
      </c>
      <c r="F1" s="4" t="n">
        <v>0.110758884206641</v>
      </c>
      <c r="G1" s="4" t="n">
        <v>0.285648320888706</v>
      </c>
      <c r="H1" s="4" t="n">
        <v>0.322092244184168</v>
      </c>
    </row>
    <row r="2" customFormat="false" ht="12.8" hidden="false" customHeight="false" outlineLevel="0" collapsed="false">
      <c r="A2" s="1" t="s">
        <v>64</v>
      </c>
      <c r="B2" s="7" t="n">
        <v>1.863</v>
      </c>
      <c r="C2" s="4" t="n">
        <f aca="false" t="array" ref="C2:H3">C1:H1*B2:B3</f>
        <v>0.197234913934972</v>
      </c>
      <c r="D2" s="4" t="n">
        <v>0.554371076496957</v>
      </c>
      <c r="E2" s="4" t="n">
        <v>0.783024461633823</v>
      </c>
      <c r="F2" s="4" t="n">
        <v>0.206343801276972</v>
      </c>
      <c r="G2" s="4" t="n">
        <v>0.532162821815659</v>
      </c>
      <c r="H2" s="4" t="n">
        <v>0.600057850915105</v>
      </c>
    </row>
    <row r="3" customFormat="false" ht="12.8" hidden="false" customHeight="false" outlineLevel="0" collapsed="false">
      <c r="A3" s="1" t="s">
        <v>65</v>
      </c>
      <c r="B3" s="7" t="n">
        <v>0.207</v>
      </c>
      <c r="C3" s="4" t="n">
        <v>0.0219149904372191</v>
      </c>
      <c r="D3" s="4" t="n">
        <v>0.0615967862774397</v>
      </c>
      <c r="E3" s="4" t="n">
        <v>0.0870027179593137</v>
      </c>
      <c r="F3" s="4" t="n">
        <v>0.0229270890307747</v>
      </c>
      <c r="G3" s="4" t="n">
        <v>0.0591292024239622</v>
      </c>
      <c r="H3" s="4" t="n">
        <v>0.0666730945461228</v>
      </c>
    </row>
    <row r="4" customFormat="false" ht="12.8" hidden="false" customHeight="false" outlineLevel="0" collapsed="false">
      <c r="A4" s="1" t="s">
        <v>66</v>
      </c>
      <c r="B4" s="4"/>
      <c r="C4" s="4" t="n">
        <f aca="false" t="array" ref="C4:C4">SUM(C2:C3)</f>
        <v>0.219149904372191</v>
      </c>
      <c r="D4" s="4" t="n">
        <f aca="false" t="array" ref="D4:D4">SUM(D2:D3)</f>
        <v>0.615967862774397</v>
      </c>
      <c r="E4" s="4" t="n">
        <f aca="false" t="array" ref="E4:E4">SUM(E2:E3)</f>
        <v>0.870027179593137</v>
      </c>
      <c r="F4" s="4" t="n">
        <f aca="false" t="array" ref="F4:F4">SUM(F2:F3)</f>
        <v>0.229270890307747</v>
      </c>
      <c r="G4" s="4" t="n">
        <f aca="false" t="array" ref="G4:G4">SUM(G2:G3)</f>
        <v>0.591292024239621</v>
      </c>
      <c r="H4" s="4" t="n">
        <f aca="false" t="array" ref="H4:H4">SUM(H2:H3)</f>
        <v>0.666730945461228</v>
      </c>
    </row>
    <row r="5" customFormat="false" ht="12.8" hidden="false" customHeight="false" outlineLevel="0" collapsed="false">
      <c r="B5" s="4"/>
      <c r="C5" s="4"/>
      <c r="D5" s="4"/>
      <c r="E5" s="4"/>
      <c r="F5" s="4"/>
      <c r="G5" s="4"/>
      <c r="H5" s="4"/>
    </row>
    <row r="6" customFormat="false" ht="12.8" hidden="false" customHeight="false" outlineLevel="0" collapsed="false">
      <c r="A6" s="1" t="s">
        <v>67</v>
      </c>
      <c r="B6" s="7" t="n">
        <v>0.618</v>
      </c>
      <c r="C6" s="4" t="n">
        <f aca="false" t="array" ref="C6:H6">C1:H1*B6</f>
        <v>0.0654273627545961</v>
      </c>
      <c r="D6" s="4" t="n">
        <v>0.18389765178482</v>
      </c>
      <c r="E6" s="4" t="n">
        <v>0.259747244922009</v>
      </c>
      <c r="F6" s="4" t="n">
        <v>0.0684489904397042</v>
      </c>
      <c r="G6" s="4" t="n">
        <v>0.17653066230922</v>
      </c>
      <c r="H6" s="4" t="n">
        <v>0.199053006905816</v>
      </c>
    </row>
    <row r="7" customFormat="false" ht="12.8" hidden="false" customHeight="false" outlineLevel="0" collapsed="false">
      <c r="A7" s="1" t="s">
        <v>68</v>
      </c>
      <c r="C7" s="1" t="n">
        <f aca="false" t="array" ref="C7:H7">C6:H6/C4:H4</f>
        <v>0.298550724637681</v>
      </c>
      <c r="D7" s="1" t="n">
        <v>0.298550724637681</v>
      </c>
      <c r="E7" s="1" t="n">
        <v>0.298550724637681</v>
      </c>
      <c r="F7" s="1" t="n">
        <v>0.298550724637681</v>
      </c>
      <c r="G7" s="1" t="n">
        <v>0.298550724637681</v>
      </c>
      <c r="H7" s="1" t="n">
        <v>0.298550724637681</v>
      </c>
    </row>
    <row r="8" customFormat="false" ht="13.8" hidden="false" customHeight="false" outlineLevel="0" collapsed="false">
      <c r="B8" s="5"/>
      <c r="C8" s="8" t="s">
        <v>54</v>
      </c>
      <c r="D8" s="8" t="s">
        <v>55</v>
      </c>
      <c r="E8" s="8" t="s">
        <v>56</v>
      </c>
      <c r="F8" s="8" t="s">
        <v>57</v>
      </c>
      <c r="G8" s="8" t="s">
        <v>58</v>
      </c>
      <c r="H8" s="8" t="s">
        <v>59</v>
      </c>
    </row>
    <row r="9" customFormat="false" ht="13.8" hidden="false" customHeight="false" outlineLevel="0" collapsed="false">
      <c r="B9" s="8" t="s">
        <v>69</v>
      </c>
      <c r="C9" s="5" t="n">
        <v>-6.82519627438427</v>
      </c>
      <c r="D9" s="5" t="n">
        <v>-19.7955084527034</v>
      </c>
      <c r="E9" s="5" t="n">
        <v>-28.9999999999181</v>
      </c>
      <c r="F9" s="5" t="n">
        <v>-7.17556269107902</v>
      </c>
      <c r="G9" s="5" t="n">
        <v>-19.9488252934521</v>
      </c>
      <c r="H9" s="5" t="n">
        <v>-22.1781131341997</v>
      </c>
    </row>
    <row r="10" customFormat="false" ht="13.8" hidden="false" customHeight="false" outlineLevel="0" collapsed="false">
      <c r="B10" s="8" t="s">
        <v>70</v>
      </c>
      <c r="C10" s="5" t="n">
        <v>-22.2768115710247</v>
      </c>
      <c r="D10" s="5" t="n">
        <v>-61.1574599431213</v>
      </c>
      <c r="E10" s="5" t="n">
        <v>-138.519008030804</v>
      </c>
      <c r="F10" s="5" t="n">
        <v>-23.9607695693343</v>
      </c>
      <c r="G10" s="5" t="n">
        <v>-67.2295670562233</v>
      </c>
      <c r="H10" s="5" t="n">
        <v>-126.962900447233</v>
      </c>
    </row>
    <row r="11" customFormat="false" ht="13.8" hidden="false" customHeight="false" outlineLevel="0" collapsed="false">
      <c r="B11" s="8" t="s">
        <v>71</v>
      </c>
      <c r="C11" s="5" t="n">
        <v>-0.681111687999666</v>
      </c>
      <c r="D11" s="5" t="n">
        <v>-1.81837459723463</v>
      </c>
      <c r="E11" s="5" t="n">
        <v>-7.10195074016616</v>
      </c>
      <c r="F11" s="5" t="n">
        <v>-0.92565628623603</v>
      </c>
      <c r="G11" s="5" t="n">
        <v>-2.32722994222719</v>
      </c>
      <c r="H11" s="5" t="n">
        <v>-13.8165078522767</v>
      </c>
    </row>
    <row r="12" customFormat="false" ht="13.8" hidden="false" customHeight="false" outlineLevel="0" collapsed="false">
      <c r="B12" s="8" t="s">
        <v>72</v>
      </c>
      <c r="C12" s="5" t="n">
        <v>-25.9151516916041</v>
      </c>
      <c r="D12" s="5" t="n">
        <v>-73.8074532134414</v>
      </c>
      <c r="E12" s="5" t="n">
        <v>-126.612395176153</v>
      </c>
      <c r="F12" s="5" t="n">
        <v>-21.5832433930413</v>
      </c>
      <c r="G12" s="5" t="n">
        <v>-67.5377109197102</v>
      </c>
      <c r="H12" s="5" t="n">
        <v>-122.996121487688</v>
      </c>
    </row>
    <row r="13" customFormat="false" ht="13.8" hidden="false" customHeight="false" outlineLevel="0" collapsed="false">
      <c r="B13" s="8" t="s">
        <v>73</v>
      </c>
      <c r="C13" s="5" t="n">
        <v>-0.227916620236671</v>
      </c>
      <c r="D13" s="5" t="n">
        <v>-0.709283718039208</v>
      </c>
      <c r="E13" s="5" t="n">
        <v>-1.09545636556975</v>
      </c>
      <c r="F13" s="5" t="n">
        <v>-0.217381926113317</v>
      </c>
      <c r="G13" s="5" t="n">
        <v>-0.717183283918363</v>
      </c>
      <c r="H13" s="5" t="n">
        <v>-0.617948758456336</v>
      </c>
    </row>
    <row r="14" customFormat="false" ht="13.8" hidden="false" customHeight="false" outlineLevel="0" collapsed="false">
      <c r="B14" s="8" t="s">
        <v>74</v>
      </c>
      <c r="C14" s="5" t="n">
        <v>-0.00636705237713612</v>
      </c>
      <c r="D14" s="5" t="n">
        <v>-0.0345454341272148</v>
      </c>
      <c r="E14" s="5" t="n">
        <v>-0.0852941176470208</v>
      </c>
      <c r="F14" s="5" t="n">
        <v>-0.000801981649468548</v>
      </c>
      <c r="G14" s="5" t="n">
        <v>-0.0386109838867527</v>
      </c>
      <c r="H14" s="5" t="n">
        <v>-0.00122988265370122</v>
      </c>
    </row>
    <row r="15" customFormat="false" ht="13.8" hidden="false" customHeight="false" outlineLevel="0" collapsed="false">
      <c r="B15" s="8" t="s">
        <v>75</v>
      </c>
      <c r="C15" s="5" t="n">
        <v>-257.221853249019</v>
      </c>
      <c r="D15" s="5" t="n">
        <v>-750.924652583845</v>
      </c>
      <c r="E15" s="5" t="n">
        <v>-1475.00000000001</v>
      </c>
      <c r="F15" s="5" t="n">
        <v>-274.877930767447</v>
      </c>
      <c r="G15" s="5" t="n">
        <v>-751.275752773468</v>
      </c>
      <c r="H15" s="5" t="n">
        <v>-1518.18632117542</v>
      </c>
    </row>
    <row r="16" customFormat="false" ht="13.8" hidden="false" customHeight="false" outlineLevel="0" collapsed="false">
      <c r="B16" s="8" t="s">
        <v>62</v>
      </c>
      <c r="C16" s="5" t="n">
        <v>0.105869519020382</v>
      </c>
      <c r="D16" s="5" t="n">
        <v>0.297569015833042</v>
      </c>
      <c r="E16" s="5" t="n">
        <v>0.420302985310694</v>
      </c>
      <c r="F16" s="5" t="n">
        <v>0.110758884206641</v>
      </c>
      <c r="G16" s="5" t="n">
        <v>0.285648320888706</v>
      </c>
      <c r="H16" s="5" t="n">
        <v>0.322092244184168</v>
      </c>
    </row>
    <row r="18" customFormat="false" ht="12.8" hidden="false" customHeight="false" outlineLevel="0" collapsed="false">
      <c r="A18" s="1" t="s">
        <v>76</v>
      </c>
      <c r="C18" s="1" t="n">
        <v>0.105869519020382</v>
      </c>
      <c r="D18" s="1" t="n">
        <v>0.297569015833042</v>
      </c>
      <c r="E18" s="1" t="n">
        <v>0.420302985310694</v>
      </c>
      <c r="F18" s="1" t="n">
        <v>0.110758884206641</v>
      </c>
      <c r="G18" s="1" t="n">
        <v>0.285648320888706</v>
      </c>
      <c r="H18" s="1" t="n">
        <v>0.322092244184168</v>
      </c>
    </row>
    <row r="19" customFormat="false" ht="12.8" hidden="false" customHeight="false" outlineLevel="0" collapsed="false">
      <c r="A19" s="1" t="s">
        <v>77</v>
      </c>
      <c r="B19" s="1" t="s">
        <v>78</v>
      </c>
    </row>
    <row r="20" customFormat="false" ht="12.8" hidden="false" customHeight="false" outlineLevel="0" collapsed="false">
      <c r="A20" s="1" t="s">
        <v>79</v>
      </c>
      <c r="B20" s="1" t="n">
        <v>0.0183</v>
      </c>
      <c r="C20" s="1" t="n">
        <f aca="false" t="array" ref="C20:H37">C18:H18*B20:B37</f>
        <v>0.00193741219807299</v>
      </c>
      <c r="D20" s="1" t="n">
        <v>0.00544551298974467</v>
      </c>
      <c r="E20" s="1" t="n">
        <v>0.0076915446311857</v>
      </c>
      <c r="F20" s="1" t="n">
        <v>0.00202688758098153</v>
      </c>
      <c r="G20" s="1" t="n">
        <v>0.00522736427226332</v>
      </c>
      <c r="H20" s="1" t="n">
        <v>0.00589428806857028</v>
      </c>
    </row>
    <row r="21" customFormat="false" ht="12.8" hidden="false" customHeight="false" outlineLevel="0" collapsed="false">
      <c r="A21" s="1" t="s">
        <v>80</v>
      </c>
      <c r="B21" s="1" t="n">
        <v>0.0958</v>
      </c>
      <c r="C21" s="1" t="n">
        <v>0.0101422999221526</v>
      </c>
      <c r="D21" s="1" t="n">
        <v>0.0285071117168054</v>
      </c>
      <c r="E21" s="1" t="n">
        <v>0.0402650259927645</v>
      </c>
      <c r="F21" s="1" t="n">
        <v>0.0106107011069962</v>
      </c>
      <c r="G21" s="1" t="n">
        <v>0.027365109141138</v>
      </c>
      <c r="H21" s="1" t="n">
        <v>0.0308564369928433</v>
      </c>
    </row>
    <row r="22" customFormat="false" ht="12.8" hidden="false" customHeight="false" outlineLevel="0" collapsed="false">
      <c r="A22" s="1" t="s">
        <v>81</v>
      </c>
      <c r="B22" s="1" t="n">
        <v>0.172</v>
      </c>
      <c r="C22" s="1" t="n">
        <v>0.0182095572715057</v>
      </c>
      <c r="D22" s="1" t="n">
        <v>0.0511818707232832</v>
      </c>
      <c r="E22" s="1" t="n">
        <v>0.0722921134734394</v>
      </c>
      <c r="F22" s="1" t="n">
        <v>0.0190505280835423</v>
      </c>
      <c r="G22" s="1" t="n">
        <v>0.0491315111928574</v>
      </c>
      <c r="H22" s="1" t="n">
        <v>0.0553998659996769</v>
      </c>
    </row>
    <row r="23" customFormat="false" ht="12.8" hidden="false" customHeight="false" outlineLevel="0" collapsed="false">
      <c r="A23" s="1" t="s">
        <v>82</v>
      </c>
      <c r="B23" s="1" t="n">
        <v>0.121</v>
      </c>
      <c r="C23" s="1" t="n">
        <v>0.0128102118014662</v>
      </c>
      <c r="D23" s="1" t="n">
        <v>0.0360058509157981</v>
      </c>
      <c r="E23" s="1" t="n">
        <v>0.050856661222594</v>
      </c>
      <c r="F23" s="1" t="n">
        <v>0.0134018249890036</v>
      </c>
      <c r="G23" s="1" t="n">
        <v>0.0345634468275334</v>
      </c>
      <c r="H23" s="1" t="n">
        <v>0.0389731615462843</v>
      </c>
    </row>
    <row r="24" customFormat="false" ht="12.8" hidden="false" customHeight="false" outlineLevel="0" collapsed="false">
      <c r="A24" s="1" t="s">
        <v>83</v>
      </c>
      <c r="B24" s="1" t="n">
        <v>0.189</v>
      </c>
      <c r="C24" s="1" t="n">
        <v>0.0200093390948522</v>
      </c>
      <c r="D24" s="1" t="n">
        <v>0.0562405439924449</v>
      </c>
      <c r="E24" s="1" t="n">
        <v>0.0794372642237212</v>
      </c>
      <c r="F24" s="1" t="n">
        <v>0.0209334291150552</v>
      </c>
      <c r="G24" s="1" t="n">
        <v>0.0539875326479654</v>
      </c>
      <c r="H24" s="1" t="n">
        <v>0.0608754341508078</v>
      </c>
    </row>
    <row r="25" customFormat="false" ht="12.8" hidden="false" customHeight="false" outlineLevel="0" collapsed="false">
      <c r="A25" s="1" t="s">
        <v>84</v>
      </c>
      <c r="B25" s="1" t="n">
        <v>0.156</v>
      </c>
      <c r="C25" s="1" t="n">
        <v>0.0165156449671796</v>
      </c>
      <c r="D25" s="1" t="n">
        <v>0.0464207664699546</v>
      </c>
      <c r="E25" s="1" t="n">
        <v>0.0655672657084683</v>
      </c>
      <c r="F25" s="1" t="n">
        <v>0.017278385936236</v>
      </c>
      <c r="G25" s="1" t="n">
        <v>0.0445611380586381</v>
      </c>
      <c r="H25" s="1" t="n">
        <v>0.0502463900927302</v>
      </c>
    </row>
    <row r="26" customFormat="false" ht="12.8" hidden="false" customHeight="false" outlineLevel="0" collapsed="false">
      <c r="A26" s="1" t="s">
        <v>85</v>
      </c>
      <c r="B26" s="1" t="n">
        <v>0.00969</v>
      </c>
      <c r="C26" s="1" t="n">
        <v>0.0010258756393075</v>
      </c>
      <c r="D26" s="1" t="n">
        <v>0.00288344376342218</v>
      </c>
      <c r="E26" s="1" t="n">
        <v>0.00407273592766063</v>
      </c>
      <c r="F26" s="1" t="n">
        <v>0.00107325358796235</v>
      </c>
      <c r="G26" s="1" t="n">
        <v>0.00276793222941156</v>
      </c>
      <c r="H26" s="1" t="n">
        <v>0.00312107384614459</v>
      </c>
    </row>
    <row r="27" customFormat="false" ht="12.8" hidden="false" customHeight="false" outlineLevel="0" collapsed="false">
      <c r="A27" s="1" t="s">
        <v>86</v>
      </c>
      <c r="B27" s="1" t="n">
        <v>0.0204</v>
      </c>
      <c r="C27" s="1" t="n">
        <v>0.00215973818801579</v>
      </c>
      <c r="D27" s="1" t="n">
        <v>0.00607040792299406</v>
      </c>
      <c r="E27" s="1" t="n">
        <v>0.00857418090033816</v>
      </c>
      <c r="F27" s="1" t="n">
        <v>0.00225948123781548</v>
      </c>
      <c r="G27" s="1" t="n">
        <v>0.0058272257461296</v>
      </c>
      <c r="H27" s="1" t="n">
        <v>0.00657068178135703</v>
      </c>
    </row>
    <row r="28" customFormat="false" ht="12.8" hidden="false" customHeight="false" outlineLevel="0" collapsed="false">
      <c r="A28" s="1" t="s">
        <v>87</v>
      </c>
      <c r="B28" s="1" t="n">
        <v>0.0172</v>
      </c>
      <c r="C28" s="1" t="n">
        <v>0.00182095572715057</v>
      </c>
      <c r="D28" s="1" t="n">
        <v>0.00511818707232832</v>
      </c>
      <c r="E28" s="1" t="n">
        <v>0.00722921134734394</v>
      </c>
      <c r="F28" s="1" t="n">
        <v>0.00190505280835423</v>
      </c>
      <c r="G28" s="1" t="n">
        <v>0.00491315111928574</v>
      </c>
      <c r="H28" s="1" t="n">
        <v>0.00553998659996769</v>
      </c>
    </row>
    <row r="29" customFormat="false" ht="12.8" hidden="false" customHeight="false" outlineLevel="0" collapsed="false">
      <c r="A29" s="1" t="s">
        <v>88</v>
      </c>
      <c r="B29" s="1" t="n">
        <v>0.0516</v>
      </c>
      <c r="C29" s="1" t="n">
        <v>0.00546286718145171</v>
      </c>
      <c r="D29" s="1" t="n">
        <v>0.015354561216985</v>
      </c>
      <c r="E29" s="1" t="n">
        <v>0.0216876340420318</v>
      </c>
      <c r="F29" s="1" t="n">
        <v>0.00571515842506268</v>
      </c>
      <c r="G29" s="1" t="n">
        <v>0.0147394533578572</v>
      </c>
      <c r="H29" s="1" t="n">
        <v>0.0166199597999031</v>
      </c>
    </row>
    <row r="30" customFormat="false" ht="12.8" hidden="false" customHeight="false" outlineLevel="0" collapsed="false">
      <c r="A30" s="1" t="s">
        <v>89</v>
      </c>
      <c r="B30" s="1" t="n">
        <v>0.0043</v>
      </c>
      <c r="C30" s="1" t="n">
        <v>0.000455238931787643</v>
      </c>
      <c r="D30" s="1" t="n">
        <v>0.00127954676808208</v>
      </c>
      <c r="E30" s="1" t="n">
        <v>0.00180730283683598</v>
      </c>
      <c r="F30" s="1" t="n">
        <v>0.000476263202088556</v>
      </c>
      <c r="G30" s="1" t="n">
        <v>0.00122828777982144</v>
      </c>
      <c r="H30" s="1" t="n">
        <v>0.00138499664999192</v>
      </c>
    </row>
    <row r="31" customFormat="false" ht="12.8" hidden="false" customHeight="false" outlineLevel="0" collapsed="false">
      <c r="A31" s="1" t="s">
        <v>90</v>
      </c>
      <c r="B31" s="1" t="n">
        <v>0.0129</v>
      </c>
      <c r="C31" s="1" t="n">
        <v>0.00136571679536293</v>
      </c>
      <c r="D31" s="1" t="n">
        <v>0.00383864030424624</v>
      </c>
      <c r="E31" s="1" t="n">
        <v>0.00542190851050795</v>
      </c>
      <c r="F31" s="1" t="n">
        <v>0.00142878960626567</v>
      </c>
      <c r="G31" s="1" t="n">
        <v>0.00368486333946431</v>
      </c>
      <c r="H31" s="1" t="n">
        <v>0.00415498994997577</v>
      </c>
    </row>
    <row r="32" customFormat="false" ht="12.8" hidden="false" customHeight="false" outlineLevel="0" collapsed="false">
      <c r="A32" s="1" t="s">
        <v>91</v>
      </c>
      <c r="B32" s="1" t="n">
        <v>0.116</v>
      </c>
      <c r="C32" s="1" t="n">
        <v>0.0122808642063643</v>
      </c>
      <c r="D32" s="1" t="n">
        <v>0.0345180058366329</v>
      </c>
      <c r="E32" s="1" t="n">
        <v>0.0487551462960405</v>
      </c>
      <c r="F32" s="1" t="n">
        <v>0.0128480305679704</v>
      </c>
      <c r="G32" s="1" t="n">
        <v>0.0331352052230899</v>
      </c>
      <c r="H32" s="1" t="n">
        <v>0.0373627003253635</v>
      </c>
    </row>
    <row r="33" customFormat="false" ht="12.8" hidden="false" customHeight="false" outlineLevel="0" collapsed="false">
      <c r="A33" s="1" t="s">
        <v>92</v>
      </c>
      <c r="B33" s="1" t="n">
        <v>2.07</v>
      </c>
      <c r="C33" s="1" t="n">
        <v>0.219149904372191</v>
      </c>
      <c r="D33" s="1" t="n">
        <v>0.615967862774397</v>
      </c>
      <c r="E33" s="1" t="n">
        <v>0.870027179593137</v>
      </c>
      <c r="F33" s="1" t="n">
        <v>0.229270890307747</v>
      </c>
      <c r="G33" s="1" t="n">
        <v>0.591292024239621</v>
      </c>
      <c r="H33" s="1" t="n">
        <v>0.666730945461228</v>
      </c>
    </row>
    <row r="34" customFormat="false" ht="12.8" hidden="false" customHeight="false" outlineLevel="0" collapsed="false">
      <c r="A34" s="1" t="s">
        <v>93</v>
      </c>
      <c r="B34" s="1" t="n">
        <v>0.618</v>
      </c>
      <c r="C34" s="1" t="n">
        <v>0.0654273627545961</v>
      </c>
      <c r="D34" s="1" t="n">
        <v>0.18389765178482</v>
      </c>
      <c r="E34" s="1" t="n">
        <v>0.259747244922009</v>
      </c>
      <c r="F34" s="1" t="n">
        <v>0.0684489904397042</v>
      </c>
      <c r="G34" s="1" t="n">
        <v>0.17653066230922</v>
      </c>
      <c r="H34" s="1" t="n">
        <v>0.199053006905816</v>
      </c>
    </row>
    <row r="35" customFormat="false" ht="12.8" hidden="false" customHeight="false" outlineLevel="0" collapsed="false">
      <c r="A35" s="1" t="s">
        <v>94</v>
      </c>
      <c r="B35" s="1" t="n">
        <v>0.044</v>
      </c>
      <c r="C35" s="1" t="n">
        <v>0.00465825883689681</v>
      </c>
      <c r="D35" s="1" t="n">
        <v>0.0130930366966538</v>
      </c>
      <c r="E35" s="1" t="n">
        <v>0.0184933313536705</v>
      </c>
      <c r="F35" s="1" t="n">
        <v>0.0048733909050922</v>
      </c>
      <c r="G35" s="1" t="n">
        <v>0.0125685261191031</v>
      </c>
      <c r="H35" s="1" t="n">
        <v>0.0141720587441034</v>
      </c>
    </row>
    <row r="36" customFormat="false" ht="12.8" hidden="false" customHeight="false" outlineLevel="0" collapsed="false">
      <c r="A36" s="1" t="s">
        <v>95</v>
      </c>
      <c r="B36" s="1" t="n">
        <v>0.00539</v>
      </c>
      <c r="C36" s="1" t="n">
        <v>0.000570636707519859</v>
      </c>
      <c r="D36" s="1" t="n">
        <v>0.0016038969953401</v>
      </c>
      <c r="E36" s="1" t="n">
        <v>0.00226543309082464</v>
      </c>
      <c r="F36" s="1" t="n">
        <v>0.000596990385873795</v>
      </c>
      <c r="G36" s="1" t="n">
        <v>0.00153964444959013</v>
      </c>
      <c r="H36" s="1" t="n">
        <v>0.00173607719615267</v>
      </c>
    </row>
    <row r="37" customFormat="false" ht="12.8" hidden="false" customHeight="false" outlineLevel="0" collapsed="false">
      <c r="A37" s="1" t="s">
        <v>96</v>
      </c>
      <c r="B37" s="1" t="n">
        <v>0.0432</v>
      </c>
      <c r="C37" s="1" t="n">
        <v>0.0045735632216805</v>
      </c>
      <c r="D37" s="1" t="n">
        <v>0.0128549814839874</v>
      </c>
      <c r="E37" s="1" t="n">
        <v>0.018157088965422</v>
      </c>
      <c r="F37" s="1" t="n">
        <v>0.00478478379772689</v>
      </c>
      <c r="G37" s="1" t="n">
        <v>0.0123400074623921</v>
      </c>
      <c r="H37" s="1" t="n">
        <v>0.0139143849487561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465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2023-06-14T01:42:26Z</dcterms:created>
  <dc:creator/>
  <dc:description/>
  <dc:language>en-PH</dc:language>
  <cp:lastModifiedBy/>
  <dcterms:modified xsi:type="dcterms:W3CDTF">2023-08-23T21:29:02Z</dcterms:modified>
  <cp:revision>14</cp:revision>
  <dc:subject/>
  <dc:title/>
</cp:coreProperties>
</file>